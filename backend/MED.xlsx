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Medicines" sheetId="3" r:id="rId7"/>
    <sheet state="visible" name="2026 Summary" sheetId="4" r:id="rId8"/>
  </sheets>
  <definedNames/>
  <calcPr/>
</workbook>
</file>

<file path=xl/sharedStrings.xml><?xml version="1.0" encoding="utf-8"?>
<sst xmlns="http://schemas.openxmlformats.org/spreadsheetml/2006/main" count="187" uniqueCount="185">
  <si>
    <t>Month</t>
  </si>
  <si>
    <t>No. of Medicines Expiring in 2026</t>
  </si>
  <si>
    <t>Formula Used</t>
  </si>
  <si>
    <t>January</t>
  </si>
  <si>
    <t>GENERIC</t>
  </si>
  <si>
    <t>Medicine Name</t>
  </si>
  <si>
    <t>BRAND NAMES</t>
  </si>
  <si>
    <t>EXPIRY</t>
  </si>
  <si>
    <t>Batch No.</t>
  </si>
  <si>
    <t>ANASTROZOLE</t>
  </si>
  <si>
    <t>Expiration Date</t>
  </si>
  <si>
    <t>Exp Year</t>
  </si>
  <si>
    <t>Anatero</t>
  </si>
  <si>
    <t>Exp Month</t>
  </si>
  <si>
    <t>Arimidex</t>
  </si>
  <si>
    <t>Armida</t>
  </si>
  <si>
    <t>Fobrecane</t>
  </si>
  <si>
    <t>Macrozole</t>
  </si>
  <si>
    <t>Vexal-a</t>
  </si>
  <si>
    <t>LETROZOLE</t>
  </si>
  <si>
    <t>Femara</t>
  </si>
  <si>
    <t>Letoripe</t>
  </si>
  <si>
    <t>Mamazol</t>
  </si>
  <si>
    <t>Medrozole</t>
  </si>
  <si>
    <t>Ovalia</t>
  </si>
  <si>
    <t>Wanda</t>
  </si>
  <si>
    <t>CAPECITABINE</t>
  </si>
  <si>
    <t>Capetero</t>
  </si>
  <si>
    <t>Capomed</t>
  </si>
  <si>
    <t>Celabin</t>
  </si>
  <si>
    <t>February</t>
  </si>
  <si>
    <t>Naprocap</t>
  </si>
  <si>
    <t>TACROLIMUS</t>
  </si>
  <si>
    <t>Advagraf</t>
  </si>
  <si>
    <t>Limast</t>
  </si>
  <si>
    <t>Meditrina</t>
  </si>
  <si>
    <t>Prograf</t>
  </si>
  <si>
    <t>Tacromax</t>
  </si>
  <si>
    <t>CICLOSPORIN</t>
  </si>
  <si>
    <t>Arpimune</t>
  </si>
  <si>
    <t>Ikervis</t>
  </si>
  <si>
    <t>Neoral Sandimmum 100</t>
  </si>
  <si>
    <t>Neoral Sandimmum 25</t>
  </si>
  <si>
    <t>MYCOPHENOLATE</t>
  </si>
  <si>
    <t>Atajec 500</t>
  </si>
  <si>
    <t>Cellcept 500</t>
  </si>
  <si>
    <t>Hocept 500</t>
  </si>
  <si>
    <t>Mycept 250</t>
  </si>
  <si>
    <t>Mycept 500</t>
  </si>
  <si>
    <t>March</t>
  </si>
  <si>
    <t>Myfortic 360</t>
  </si>
  <si>
    <t>Mysod 360</t>
  </si>
  <si>
    <t>Navaxif 500</t>
  </si>
  <si>
    <t>ALENDRONIC ACID</t>
  </si>
  <si>
    <t>Aldren</t>
  </si>
  <si>
    <t>Alendra</t>
  </si>
  <si>
    <t>Alovell</t>
  </si>
  <si>
    <t>Binosto</t>
  </si>
  <si>
    <t>Bondros</t>
  </si>
  <si>
    <t>Fosavance</t>
  </si>
  <si>
    <t>April</t>
  </si>
  <si>
    <t>Reventa</t>
  </si>
  <si>
    <t>Ritemed</t>
  </si>
  <si>
    <t>BICALUTAMIDE</t>
  </si>
  <si>
    <t>Bicapros</t>
  </si>
  <si>
    <t>Calubia</t>
  </si>
  <si>
    <t>Riki</t>
  </si>
  <si>
    <t>METHOTREXATE</t>
  </si>
  <si>
    <t>Metorex</t>
  </si>
  <si>
    <t>Omari</t>
  </si>
  <si>
    <t>Pterin</t>
  </si>
  <si>
    <t>TAMOXIFEN</t>
  </si>
  <si>
    <t xml:space="preserve">Gyraxen </t>
  </si>
  <si>
    <t>Nolvadex-D</t>
  </si>
  <si>
    <t>Tamoxen</t>
  </si>
  <si>
    <t>May</t>
  </si>
  <si>
    <t>Tamzenef</t>
  </si>
  <si>
    <t>AZATHIOPRINE</t>
  </si>
  <si>
    <t>Imuran 50</t>
  </si>
  <si>
    <t>BARICITINIB</t>
  </si>
  <si>
    <t>Olumiant 4mg</t>
  </si>
  <si>
    <t>BROMOCRIPTINE</t>
  </si>
  <si>
    <t xml:space="preserve">Parlodel 2.5 </t>
  </si>
  <si>
    <t>EXEMESTANE</t>
  </si>
  <si>
    <t>Aromasin 25</t>
  </si>
  <si>
    <t>Exemestan Stada 25mg</t>
  </si>
  <si>
    <t>HYDROXYUREA</t>
  </si>
  <si>
    <t>Krabinex 500</t>
  </si>
  <si>
    <t>LEFLUNOMIDE</t>
  </si>
  <si>
    <t>June</t>
  </si>
  <si>
    <t>Bageda</t>
  </si>
  <si>
    <t>Lefno 20</t>
  </si>
  <si>
    <t>Lemard</t>
  </si>
  <si>
    <t>RALOXIFENE</t>
  </si>
  <si>
    <t>Larfen 60mg</t>
  </si>
  <si>
    <t>RISEDRONATE</t>
  </si>
  <si>
    <t>Residron 35mg 4tab/box</t>
  </si>
  <si>
    <t>LEMBOREXANT</t>
  </si>
  <si>
    <t>Dayvigo 5mg</t>
  </si>
  <si>
    <t>EVEROLIMUS</t>
  </si>
  <si>
    <t xml:space="preserve">Certican 0.5 mg </t>
  </si>
  <si>
    <t>ANTI-PARKINSON</t>
  </si>
  <si>
    <t>July</t>
  </si>
  <si>
    <t>August</t>
  </si>
  <si>
    <t xml:space="preserve">BIPERIDEN </t>
  </si>
  <si>
    <t xml:space="preserve">Akidin 2mg </t>
  </si>
  <si>
    <t>MEMANTINE</t>
  </si>
  <si>
    <t>Abixa</t>
  </si>
  <si>
    <t>Alzhemed</t>
  </si>
  <si>
    <t>Denigma</t>
  </si>
  <si>
    <t>Leimentab</t>
  </si>
  <si>
    <t>Memandin</t>
  </si>
  <si>
    <t>September</t>
  </si>
  <si>
    <t xml:space="preserve">Memanta </t>
  </si>
  <si>
    <t>Memry</t>
  </si>
  <si>
    <t>Vexlin</t>
  </si>
  <si>
    <t xml:space="preserve">Zimerzid </t>
  </si>
  <si>
    <t>DONEPEZIL</t>
  </si>
  <si>
    <t>Aricept Evess 10</t>
  </si>
  <si>
    <t>Aricept Evess 5</t>
  </si>
  <si>
    <t>October</t>
  </si>
  <si>
    <t>Depezil</t>
  </si>
  <si>
    <t>Dopezil 5mg</t>
  </si>
  <si>
    <t xml:space="preserve">Ritemed 5mg </t>
  </si>
  <si>
    <t xml:space="preserve">Servonex 5 mg </t>
  </si>
  <si>
    <t>Vexdim 10</t>
  </si>
  <si>
    <t>November</t>
  </si>
  <si>
    <t>Vexdim 100DT</t>
  </si>
  <si>
    <t xml:space="preserve">Vexdim 5mg </t>
  </si>
  <si>
    <t>Zypezil 5</t>
  </si>
  <si>
    <t>ROPINIROLE</t>
  </si>
  <si>
    <t>Kinetica 2mg</t>
  </si>
  <si>
    <t xml:space="preserve">Kinetica 4mg </t>
  </si>
  <si>
    <t>Requip 2mg</t>
  </si>
  <si>
    <t>Requip 4mg</t>
  </si>
  <si>
    <t>December</t>
  </si>
  <si>
    <t>LEVODOPA + CARBI</t>
  </si>
  <si>
    <t>100/25</t>
  </si>
  <si>
    <t xml:space="preserve">Lavida </t>
  </si>
  <si>
    <t>Parkimet</t>
  </si>
  <si>
    <t>Tidomet</t>
  </si>
  <si>
    <t>200/50</t>
  </si>
  <si>
    <t>Tidoemet CR</t>
  </si>
  <si>
    <t>200/25</t>
  </si>
  <si>
    <t>Lavida</t>
  </si>
  <si>
    <t>Vexdopa</t>
  </si>
  <si>
    <t>PRAMIPEXOLE</t>
  </si>
  <si>
    <t>Pridel 1 mg</t>
  </si>
  <si>
    <t xml:space="preserve">Pritan </t>
  </si>
  <si>
    <t xml:space="preserve">Pexole </t>
  </si>
  <si>
    <t>Piritan</t>
  </si>
  <si>
    <t>Pridel 250mg</t>
  </si>
  <si>
    <t>Sifrol</t>
  </si>
  <si>
    <t>RASAGILINE</t>
  </si>
  <si>
    <t>Azilect</t>
  </si>
  <si>
    <t>Conpadex</t>
  </si>
  <si>
    <t xml:space="preserve">Rasatab 1 </t>
  </si>
  <si>
    <t>Rasator 0.5mg</t>
  </si>
  <si>
    <t>Rasator 1</t>
  </si>
  <si>
    <t>RIVASTIGMINE</t>
  </si>
  <si>
    <t>Exelon 5</t>
  </si>
  <si>
    <t>Exelon 10</t>
  </si>
  <si>
    <t>PRAMIPEXOLE +</t>
  </si>
  <si>
    <t xml:space="preserve">DIHYDROCHLORIDE </t>
  </si>
  <si>
    <t>MONOHYDRATE</t>
  </si>
  <si>
    <t>PERAMPANEL</t>
  </si>
  <si>
    <t>Fycompa 2mg</t>
  </si>
  <si>
    <t>Fycompa 4mg</t>
  </si>
  <si>
    <t>Fycompa 8mg</t>
  </si>
  <si>
    <t>SAFINAMIDE</t>
  </si>
  <si>
    <t>Equfina 50mg</t>
  </si>
  <si>
    <t>ANTI-CONVULSANT</t>
  </si>
  <si>
    <t>CARBAMAZEPINE</t>
  </si>
  <si>
    <t>Mezarar 200</t>
  </si>
  <si>
    <t>Tegretol 200</t>
  </si>
  <si>
    <t>Tegretol LA 200</t>
  </si>
  <si>
    <t>Tegretol LA 400</t>
  </si>
  <si>
    <t>OXCARBAMAZEPINE</t>
  </si>
  <si>
    <t>Carbox 300</t>
  </si>
  <si>
    <t>Kusapin 300</t>
  </si>
  <si>
    <t>Trileptal 300</t>
  </si>
  <si>
    <t>Trileptal 600</t>
  </si>
  <si>
    <t>SODIUM VALPROATE +</t>
  </si>
  <si>
    <t>Depakate</t>
  </si>
  <si>
    <t xml:space="preserve">VALPRAIC ACID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</si>
</sst>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Fill="1" applyFont="1"/>
    <xf borderId="0" fillId="3" fontId="1" numFmtId="0" xfId="0" applyAlignment="1" applyFill="1" applyFont="1">
      <alignment readingOrder="0"/>
    </xf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0"/>
    <col customWidth="1" min="3" max="3" width="5.25"/>
    <col customWidth="1" min="4" max="4" width="23.63"/>
    <col customWidth="1" min="5" max="5" width="19.0"/>
  </cols>
  <sheetData>
    <row r="1">
      <c r="A1" s="3" t="s">
        <v>4</v>
      </c>
      <c r="B1" s="3"/>
      <c r="C1" s="3"/>
      <c r="D1" s="3" t="s">
        <v>6</v>
      </c>
      <c r="E1" s="3" t="s">
        <v>7</v>
      </c>
    </row>
    <row r="2">
      <c r="A2" s="4" t="s">
        <v>9</v>
      </c>
      <c r="B2" s="4"/>
      <c r="C2" s="4">
        <v>30.0</v>
      </c>
      <c r="D2" s="4" t="s">
        <v>12</v>
      </c>
    </row>
    <row r="3">
      <c r="C3" s="4">
        <v>28.0</v>
      </c>
      <c r="D3" s="4" t="s">
        <v>14</v>
      </c>
    </row>
    <row r="4">
      <c r="C4" s="4">
        <v>30.0</v>
      </c>
      <c r="D4" s="4" t="s">
        <v>15</v>
      </c>
    </row>
    <row r="5">
      <c r="C5" s="4">
        <v>30.0</v>
      </c>
      <c r="D5" s="4" t="s">
        <v>16</v>
      </c>
    </row>
    <row r="6">
      <c r="C6" s="4">
        <v>28.0</v>
      </c>
      <c r="D6" s="4" t="s">
        <v>17</v>
      </c>
    </row>
    <row r="7">
      <c r="C7" s="4">
        <v>30.0</v>
      </c>
      <c r="D7" s="4" t="s">
        <v>18</v>
      </c>
    </row>
    <row r="9">
      <c r="A9" s="4" t="s">
        <v>19</v>
      </c>
      <c r="B9" s="4"/>
      <c r="C9" s="4">
        <v>30.0</v>
      </c>
      <c r="D9" s="4" t="s">
        <v>20</v>
      </c>
    </row>
    <row r="10">
      <c r="C10" s="4">
        <v>30.0</v>
      </c>
      <c r="D10" s="4" t="s">
        <v>21</v>
      </c>
    </row>
    <row r="11">
      <c r="C11" s="4">
        <v>30.0</v>
      </c>
      <c r="D11" s="4" t="s">
        <v>22</v>
      </c>
    </row>
    <row r="12">
      <c r="C12" s="4">
        <v>30.0</v>
      </c>
      <c r="D12" s="4" t="s">
        <v>23</v>
      </c>
    </row>
    <row r="13">
      <c r="C13" s="4">
        <v>30.0</v>
      </c>
      <c r="D13" s="4" t="s">
        <v>24</v>
      </c>
    </row>
    <row r="14">
      <c r="C14" s="4">
        <v>30.0</v>
      </c>
      <c r="D14" s="4" t="s">
        <v>25</v>
      </c>
    </row>
    <row r="16">
      <c r="A16" s="4" t="s">
        <v>26</v>
      </c>
      <c r="B16" s="4"/>
      <c r="C16" s="4">
        <v>100.0</v>
      </c>
      <c r="D16" s="4" t="s">
        <v>27</v>
      </c>
    </row>
    <row r="17">
      <c r="C17" s="4">
        <v>100.0</v>
      </c>
      <c r="D17" s="4" t="s">
        <v>28</v>
      </c>
    </row>
    <row r="18">
      <c r="C18" s="4">
        <v>60.0</v>
      </c>
      <c r="D18" s="4" t="s">
        <v>29</v>
      </c>
    </row>
    <row r="19">
      <c r="C19" s="4">
        <v>100.0</v>
      </c>
      <c r="D19" s="4" t="s">
        <v>31</v>
      </c>
    </row>
    <row r="21">
      <c r="A21" s="4" t="s">
        <v>32</v>
      </c>
      <c r="B21" s="4"/>
      <c r="C21" s="4">
        <v>50.0</v>
      </c>
      <c r="D21" s="4" t="s">
        <v>33</v>
      </c>
    </row>
    <row r="22">
      <c r="C22" s="4">
        <v>60.0</v>
      </c>
      <c r="D22" s="4" t="s">
        <v>34</v>
      </c>
    </row>
    <row r="23">
      <c r="C23" s="4">
        <v>60.0</v>
      </c>
      <c r="D23" s="4" t="s">
        <v>35</v>
      </c>
    </row>
    <row r="24">
      <c r="C24" s="4">
        <v>50.0</v>
      </c>
      <c r="D24" s="4" t="s">
        <v>36</v>
      </c>
    </row>
    <row r="25">
      <c r="C25" s="4">
        <v>50.0</v>
      </c>
      <c r="D25" s="4" t="s">
        <v>37</v>
      </c>
    </row>
    <row r="27">
      <c r="A27" s="4" t="s">
        <v>38</v>
      </c>
      <c r="B27" s="4"/>
      <c r="C27" s="4">
        <v>50.0</v>
      </c>
      <c r="D27" s="4" t="s">
        <v>39</v>
      </c>
    </row>
    <row r="28">
      <c r="D28" s="4" t="s">
        <v>40</v>
      </c>
    </row>
    <row r="29">
      <c r="C29" s="4">
        <v>50.0</v>
      </c>
      <c r="D29" s="4" t="s">
        <v>41</v>
      </c>
    </row>
    <row r="30">
      <c r="C30" s="4">
        <v>50.0</v>
      </c>
      <c r="D30" s="4" t="s">
        <v>42</v>
      </c>
    </row>
    <row r="32">
      <c r="A32" s="4" t="s">
        <v>43</v>
      </c>
      <c r="B32" s="4"/>
      <c r="C32" s="4">
        <v>50.0</v>
      </c>
      <c r="D32" s="4" t="s">
        <v>44</v>
      </c>
    </row>
    <row r="33">
      <c r="C33" s="4">
        <v>50.0</v>
      </c>
      <c r="D33" s="4" t="s">
        <v>45</v>
      </c>
    </row>
    <row r="34">
      <c r="C34" s="4">
        <v>50.0</v>
      </c>
      <c r="D34" s="4" t="s">
        <v>46</v>
      </c>
    </row>
    <row r="35">
      <c r="C35" s="4">
        <v>30.0</v>
      </c>
      <c r="D35" s="4" t="s">
        <v>47</v>
      </c>
    </row>
    <row r="36">
      <c r="C36" s="4">
        <v>30.0</v>
      </c>
      <c r="D36" s="4" t="s">
        <v>48</v>
      </c>
    </row>
    <row r="37">
      <c r="C37" s="4">
        <v>120.0</v>
      </c>
      <c r="D37" s="4" t="s">
        <v>50</v>
      </c>
    </row>
    <row r="38">
      <c r="C38" s="4">
        <v>30.0</v>
      </c>
      <c r="D38" s="4" t="s">
        <v>51</v>
      </c>
    </row>
    <row r="39">
      <c r="C39" s="4">
        <v>10.0</v>
      </c>
      <c r="D39" s="4" t="s">
        <v>52</v>
      </c>
    </row>
    <row r="41">
      <c r="A41" s="4" t="s">
        <v>53</v>
      </c>
      <c r="B41" s="4"/>
      <c r="C41" s="4">
        <v>4.0</v>
      </c>
      <c r="D41" s="4" t="s">
        <v>54</v>
      </c>
    </row>
    <row r="42">
      <c r="C42" s="4">
        <v>4.0</v>
      </c>
      <c r="D42" s="4" t="s">
        <v>55</v>
      </c>
    </row>
    <row r="43">
      <c r="C43" s="4">
        <v>4.0</v>
      </c>
      <c r="D43" s="4" t="s">
        <v>56</v>
      </c>
    </row>
    <row r="44">
      <c r="C44" s="4">
        <v>4.0</v>
      </c>
      <c r="D44" s="4" t="s">
        <v>57</v>
      </c>
    </row>
    <row r="45">
      <c r="D45" s="4" t="s">
        <v>58</v>
      </c>
    </row>
    <row r="46">
      <c r="C46" s="4">
        <v>2.0</v>
      </c>
      <c r="D46" s="4" t="s">
        <v>59</v>
      </c>
    </row>
    <row r="47">
      <c r="C47" s="4">
        <v>4.0</v>
      </c>
      <c r="D47" s="4" t="s">
        <v>61</v>
      </c>
    </row>
    <row r="48">
      <c r="C48" s="4">
        <v>4.0</v>
      </c>
      <c r="D48" s="4" t="s">
        <v>62</v>
      </c>
    </row>
    <row r="50">
      <c r="A50" s="4" t="s">
        <v>63</v>
      </c>
      <c r="B50" s="4"/>
      <c r="C50" s="4">
        <v>28.0</v>
      </c>
      <c r="D50" s="4" t="s">
        <v>64</v>
      </c>
    </row>
    <row r="51">
      <c r="C51" s="4">
        <v>30.0</v>
      </c>
      <c r="D51" s="4" t="s">
        <v>65</v>
      </c>
    </row>
    <row r="52">
      <c r="C52" s="4">
        <v>30.0</v>
      </c>
      <c r="D52" s="4" t="s">
        <v>66</v>
      </c>
    </row>
    <row r="54">
      <c r="A54" s="4" t="s">
        <v>67</v>
      </c>
      <c r="B54" s="4"/>
      <c r="C54" s="4">
        <v>100.0</v>
      </c>
      <c r="D54" s="4" t="s">
        <v>68</v>
      </c>
    </row>
    <row r="55">
      <c r="C55" s="4">
        <v>30.0</v>
      </c>
      <c r="D55" s="4" t="s">
        <v>69</v>
      </c>
    </row>
    <row r="56">
      <c r="C56" s="4">
        <v>100.0</v>
      </c>
      <c r="D56" s="4" t="s">
        <v>70</v>
      </c>
    </row>
    <row r="58">
      <c r="A58" s="4" t="s">
        <v>71</v>
      </c>
      <c r="B58" s="4"/>
      <c r="C58" s="4">
        <v>100.0</v>
      </c>
      <c r="D58" s="4" t="s">
        <v>72</v>
      </c>
    </row>
    <row r="59">
      <c r="C59" s="4">
        <v>30.0</v>
      </c>
      <c r="D59" s="4" t="s">
        <v>73</v>
      </c>
    </row>
    <row r="60">
      <c r="C60" s="4">
        <v>30.0</v>
      </c>
      <c r="D60" s="4" t="s">
        <v>74</v>
      </c>
    </row>
    <row r="61">
      <c r="C61" s="4">
        <v>30.0</v>
      </c>
      <c r="D61" s="4" t="s">
        <v>76</v>
      </c>
    </row>
    <row r="63">
      <c r="A63" s="4" t="s">
        <v>77</v>
      </c>
      <c r="B63" s="4"/>
      <c r="C63" s="4">
        <v>100.0</v>
      </c>
      <c r="D63" s="4" t="s">
        <v>78</v>
      </c>
    </row>
    <row r="65">
      <c r="A65" s="4" t="s">
        <v>79</v>
      </c>
      <c r="B65" s="4"/>
      <c r="C65" s="4">
        <v>28.0</v>
      </c>
      <c r="D65" s="4" t="s">
        <v>80</v>
      </c>
    </row>
    <row r="67">
      <c r="A67" s="4" t="s">
        <v>81</v>
      </c>
      <c r="B67" s="4"/>
      <c r="C67" s="4">
        <v>30.0</v>
      </c>
      <c r="D67" s="4" t="s">
        <v>82</v>
      </c>
    </row>
    <row r="69">
      <c r="A69" s="4" t="s">
        <v>83</v>
      </c>
      <c r="B69" s="4"/>
      <c r="C69" s="4">
        <v>30.0</v>
      </c>
      <c r="D69" s="4" t="s">
        <v>84</v>
      </c>
    </row>
    <row r="70">
      <c r="C70" s="4">
        <v>30.0</v>
      </c>
      <c r="D70" s="4" t="s">
        <v>85</v>
      </c>
    </row>
    <row r="72">
      <c r="A72" s="4" t="s">
        <v>86</v>
      </c>
      <c r="B72" s="4"/>
      <c r="C72" s="4">
        <v>100.0</v>
      </c>
      <c r="D72" s="4" t="s">
        <v>87</v>
      </c>
    </row>
    <row r="74">
      <c r="A74" s="4" t="s">
        <v>88</v>
      </c>
      <c r="B74" s="4"/>
      <c r="C74" s="4">
        <v>30.0</v>
      </c>
      <c r="D74" s="4" t="s">
        <v>90</v>
      </c>
    </row>
    <row r="75">
      <c r="C75" s="4">
        <v>30.0</v>
      </c>
      <c r="D75" s="4" t="s">
        <v>91</v>
      </c>
    </row>
    <row r="76">
      <c r="C76" s="4">
        <v>30.0</v>
      </c>
      <c r="D76" s="4" t="s">
        <v>92</v>
      </c>
    </row>
    <row r="78">
      <c r="A78" s="4" t="s">
        <v>93</v>
      </c>
      <c r="B78" s="4"/>
      <c r="C78" s="4">
        <v>28.0</v>
      </c>
      <c r="D78" s="4" t="s">
        <v>94</v>
      </c>
    </row>
    <row r="80">
      <c r="A80" s="4" t="s">
        <v>95</v>
      </c>
      <c r="B80" s="4"/>
      <c r="C80" s="4">
        <v>50.0</v>
      </c>
      <c r="D80" s="4" t="s">
        <v>96</v>
      </c>
    </row>
    <row r="82">
      <c r="A82" s="4" t="s">
        <v>97</v>
      </c>
      <c r="B82" s="4"/>
      <c r="C82" s="4">
        <v>28.0</v>
      </c>
      <c r="D82" s="4" t="s">
        <v>98</v>
      </c>
    </row>
    <row r="84">
      <c r="A84" s="4" t="s">
        <v>99</v>
      </c>
      <c r="B84" s="4"/>
      <c r="C84" s="4">
        <v>60.0</v>
      </c>
      <c r="D84" s="4" t="s">
        <v>100</v>
      </c>
    </row>
    <row r="87">
      <c r="A87" s="5" t="s">
        <v>101</v>
      </c>
      <c r="B87" s="5"/>
      <c r="C87" s="6"/>
      <c r="D87" s="6"/>
      <c r="E87" s="6"/>
    </row>
    <row r="89">
      <c r="A89" s="4" t="s">
        <v>104</v>
      </c>
      <c r="B89" s="4"/>
      <c r="C89" s="4">
        <v>100.0</v>
      </c>
      <c r="D89" s="4" t="s">
        <v>105</v>
      </c>
    </row>
    <row r="91">
      <c r="A91" s="4" t="s">
        <v>106</v>
      </c>
      <c r="B91" s="4"/>
      <c r="C91" s="4">
        <v>28.0</v>
      </c>
      <c r="D91" s="4" t="s">
        <v>107</v>
      </c>
    </row>
    <row r="92">
      <c r="C92" s="4">
        <v>30.0</v>
      </c>
      <c r="D92" s="4" t="s">
        <v>108</v>
      </c>
    </row>
    <row r="93">
      <c r="C93" s="4">
        <v>14.0</v>
      </c>
      <c r="D93" s="4" t="s">
        <v>109</v>
      </c>
    </row>
    <row r="94">
      <c r="C94" s="4">
        <v>30.0</v>
      </c>
      <c r="D94" s="4" t="s">
        <v>110</v>
      </c>
    </row>
    <row r="95">
      <c r="C95" s="4">
        <v>30.0</v>
      </c>
      <c r="D95" s="4" t="s">
        <v>111</v>
      </c>
    </row>
    <row r="96">
      <c r="C96" s="4">
        <v>100.0</v>
      </c>
      <c r="D96" s="4" t="s">
        <v>113</v>
      </c>
    </row>
    <row r="97">
      <c r="C97" s="4">
        <v>30.0</v>
      </c>
      <c r="D97" s="4" t="s">
        <v>113</v>
      </c>
    </row>
    <row r="98">
      <c r="C98" s="4">
        <v>30.0</v>
      </c>
      <c r="D98" s="4" t="s">
        <v>114</v>
      </c>
    </row>
    <row r="99">
      <c r="C99" s="4">
        <v>30.0</v>
      </c>
      <c r="D99" s="4" t="s">
        <v>115</v>
      </c>
    </row>
    <row r="100">
      <c r="C100" s="4">
        <v>100.0</v>
      </c>
      <c r="D100" s="4" t="s">
        <v>116</v>
      </c>
    </row>
    <row r="102">
      <c r="A102" s="4" t="s">
        <v>117</v>
      </c>
      <c r="B102" s="4"/>
      <c r="C102" s="4">
        <v>28.0</v>
      </c>
      <c r="D102" s="4" t="s">
        <v>118</v>
      </c>
    </row>
    <row r="103">
      <c r="C103" s="4">
        <v>28.0</v>
      </c>
      <c r="D103" s="4" t="s">
        <v>119</v>
      </c>
    </row>
    <row r="104">
      <c r="C104" s="4">
        <v>30.0</v>
      </c>
      <c r="D104" s="4" t="s">
        <v>121</v>
      </c>
    </row>
    <row r="105">
      <c r="C105" s="4">
        <v>30.0</v>
      </c>
      <c r="D105" s="4" t="s">
        <v>122</v>
      </c>
    </row>
    <row r="106">
      <c r="C106" s="4">
        <v>30.0</v>
      </c>
      <c r="D106" s="4" t="s">
        <v>123</v>
      </c>
    </row>
    <row r="107">
      <c r="D107" s="4" t="s">
        <v>124</v>
      </c>
    </row>
    <row r="108">
      <c r="C108" s="4">
        <v>30.0</v>
      </c>
      <c r="D108" s="4" t="s">
        <v>125</v>
      </c>
    </row>
    <row r="109">
      <c r="C109" s="4">
        <v>28.0</v>
      </c>
      <c r="D109" s="4" t="s">
        <v>127</v>
      </c>
    </row>
    <row r="110">
      <c r="C110" s="4">
        <v>28.0</v>
      </c>
      <c r="D110" s="4" t="s">
        <v>128</v>
      </c>
    </row>
    <row r="111">
      <c r="C111" s="4">
        <v>100.0</v>
      </c>
      <c r="D111" s="4" t="s">
        <v>129</v>
      </c>
    </row>
    <row r="113">
      <c r="A113" s="4" t="s">
        <v>130</v>
      </c>
      <c r="B113" s="4"/>
      <c r="C113" s="4">
        <v>28.0</v>
      </c>
      <c r="D113" s="4" t="s">
        <v>131</v>
      </c>
    </row>
    <row r="114">
      <c r="C114" s="4">
        <v>28.0</v>
      </c>
      <c r="D114" s="4" t="s">
        <v>132</v>
      </c>
    </row>
    <row r="115">
      <c r="C115" s="4">
        <v>28.0</v>
      </c>
      <c r="D115" s="4" t="s">
        <v>133</v>
      </c>
    </row>
    <row r="116">
      <c r="C116" s="4">
        <v>28.0</v>
      </c>
      <c r="D116" s="4" t="s">
        <v>134</v>
      </c>
    </row>
    <row r="118">
      <c r="A118" s="4" t="s">
        <v>136</v>
      </c>
      <c r="B118" s="4"/>
      <c r="D118" s="4" t="s">
        <v>137</v>
      </c>
    </row>
    <row r="119">
      <c r="C119" s="4">
        <v>30.0</v>
      </c>
      <c r="D119" s="4" t="s">
        <v>138</v>
      </c>
    </row>
    <row r="120">
      <c r="C120" s="4">
        <v>50.0</v>
      </c>
      <c r="D120" s="4" t="s">
        <v>139</v>
      </c>
    </row>
    <row r="121">
      <c r="C121" s="4">
        <v>100.0</v>
      </c>
      <c r="D121" s="4" t="s">
        <v>140</v>
      </c>
    </row>
    <row r="123">
      <c r="D123" s="4" t="s">
        <v>141</v>
      </c>
    </row>
    <row r="124">
      <c r="C124" s="4">
        <v>30.0</v>
      </c>
      <c r="D124" s="4" t="s">
        <v>142</v>
      </c>
    </row>
    <row r="126">
      <c r="D126" s="4" t="s">
        <v>143</v>
      </c>
    </row>
    <row r="127">
      <c r="C127" s="4">
        <v>100.0</v>
      </c>
      <c r="D127" s="4" t="s">
        <v>144</v>
      </c>
    </row>
    <row r="128">
      <c r="C128" s="4">
        <v>100.0</v>
      </c>
      <c r="D128" s="4" t="s">
        <v>140</v>
      </c>
    </row>
    <row r="129">
      <c r="C129" s="4">
        <v>100.0</v>
      </c>
      <c r="D129" s="4" t="s">
        <v>145</v>
      </c>
    </row>
    <row r="131">
      <c r="A131" s="4" t="s">
        <v>146</v>
      </c>
      <c r="B131" s="4"/>
      <c r="C131" s="4">
        <v>30.0</v>
      </c>
      <c r="D131" s="4" t="s">
        <v>147</v>
      </c>
    </row>
    <row r="132">
      <c r="C132" s="4">
        <v>30.0</v>
      </c>
      <c r="D132" s="4" t="s">
        <v>148</v>
      </c>
    </row>
    <row r="134">
      <c r="D134" s="4" t="s">
        <v>149</v>
      </c>
    </row>
    <row r="135">
      <c r="D135" s="4" t="s">
        <v>150</v>
      </c>
    </row>
    <row r="136">
      <c r="D136" s="4" t="s">
        <v>151</v>
      </c>
    </row>
    <row r="137">
      <c r="D137" s="4" t="s">
        <v>152</v>
      </c>
    </row>
    <row r="139">
      <c r="A139" s="4" t="s">
        <v>153</v>
      </c>
      <c r="B139" s="4"/>
      <c r="C139" s="4">
        <v>28.0</v>
      </c>
      <c r="D139" s="4" t="s">
        <v>154</v>
      </c>
    </row>
    <row r="140">
      <c r="C140" s="4">
        <v>10.0</v>
      </c>
      <c r="D140" s="4" t="s">
        <v>155</v>
      </c>
    </row>
    <row r="141">
      <c r="C141" s="4">
        <v>10.0</v>
      </c>
      <c r="D141" s="4" t="s">
        <v>156</v>
      </c>
    </row>
    <row r="142">
      <c r="C142" s="4">
        <v>30.0</v>
      </c>
      <c r="D142" s="4" t="s">
        <v>157</v>
      </c>
    </row>
    <row r="143">
      <c r="C143" s="4">
        <v>30.0</v>
      </c>
      <c r="D143" s="4" t="s">
        <v>158</v>
      </c>
    </row>
    <row r="145">
      <c r="A145" s="4" t="s">
        <v>159</v>
      </c>
      <c r="B145" s="4"/>
      <c r="C145" s="4">
        <v>30.0</v>
      </c>
      <c r="D145" s="4" t="s">
        <v>160</v>
      </c>
    </row>
    <row r="146">
      <c r="C146" s="4">
        <v>30.0</v>
      </c>
      <c r="D146" s="4" t="s">
        <v>161</v>
      </c>
    </row>
    <row r="148">
      <c r="A148" s="4" t="s">
        <v>162</v>
      </c>
      <c r="B148" s="4"/>
    </row>
    <row r="149">
      <c r="A149" s="4" t="s">
        <v>163</v>
      </c>
      <c r="B149" s="4"/>
    </row>
    <row r="150">
      <c r="A150" s="4" t="s">
        <v>164</v>
      </c>
      <c r="B150" s="4"/>
    </row>
    <row r="152">
      <c r="A152" s="4" t="s">
        <v>165</v>
      </c>
      <c r="B152" s="4"/>
      <c r="C152" s="4">
        <v>7.0</v>
      </c>
      <c r="D152" s="4" t="s">
        <v>166</v>
      </c>
    </row>
    <row r="153">
      <c r="C153" s="4">
        <v>28.0</v>
      </c>
      <c r="D153" s="4" t="s">
        <v>167</v>
      </c>
    </row>
    <row r="154">
      <c r="C154" s="4">
        <v>28.0</v>
      </c>
      <c r="D154" s="4" t="s">
        <v>168</v>
      </c>
    </row>
    <row r="156">
      <c r="A156" s="4" t="s">
        <v>169</v>
      </c>
      <c r="B156" s="4"/>
      <c r="C156" s="4">
        <v>28.0</v>
      </c>
      <c r="D156" s="4" t="s">
        <v>170</v>
      </c>
    </row>
    <row r="158">
      <c r="A158" s="7" t="s">
        <v>171</v>
      </c>
      <c r="B158" s="7"/>
      <c r="C158" s="8"/>
      <c r="D158" s="8"/>
      <c r="E158" s="8"/>
    </row>
    <row r="160">
      <c r="A160" s="4" t="s">
        <v>172</v>
      </c>
      <c r="B160" s="4"/>
      <c r="C160" s="4">
        <v>50.0</v>
      </c>
      <c r="D160" s="4" t="s">
        <v>173</v>
      </c>
    </row>
    <row r="161">
      <c r="C161" s="4">
        <v>100.0</v>
      </c>
      <c r="D161" s="4" t="s">
        <v>174</v>
      </c>
    </row>
    <row r="162">
      <c r="C162" s="4">
        <v>100.0</v>
      </c>
      <c r="D162" s="4" t="s">
        <v>175</v>
      </c>
    </row>
    <row r="163">
      <c r="C163" s="4">
        <v>100.0</v>
      </c>
      <c r="D163" s="4" t="s">
        <v>176</v>
      </c>
    </row>
    <row r="165">
      <c r="A165" s="4" t="s">
        <v>177</v>
      </c>
      <c r="B165" s="4"/>
      <c r="C165" s="4">
        <v>50.0</v>
      </c>
      <c r="D165" s="4" t="s">
        <v>178</v>
      </c>
    </row>
    <row r="166">
      <c r="C166" s="4">
        <v>30.0</v>
      </c>
      <c r="D166" s="4" t="s">
        <v>179</v>
      </c>
    </row>
    <row r="167">
      <c r="C167" s="4">
        <v>50.0</v>
      </c>
      <c r="D167" s="4" t="s">
        <v>180</v>
      </c>
    </row>
    <row r="168">
      <c r="C168" s="4">
        <v>50.0</v>
      </c>
      <c r="D168" s="4" t="s">
        <v>181</v>
      </c>
    </row>
    <row r="170">
      <c r="A170" s="4" t="s">
        <v>182</v>
      </c>
      <c r="B170" s="4"/>
      <c r="D170" s="4" t="s">
        <v>183</v>
      </c>
    </row>
    <row r="171">
      <c r="A171" s="4" t="s">
        <v>184</v>
      </c>
      <c r="B17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>
      <c r="A1" s="1" t="s">
        <v>5</v>
      </c>
      <c r="B1" s="1" t="s">
        <v>8</v>
      </c>
      <c r="C1" s="1" t="s">
        <v>10</v>
      </c>
      <c r="D1" s="1" t="s">
        <v>11</v>
      </c>
      <c r="E1" s="1" t="s">
        <v>13</v>
      </c>
    </row>
    <row r="2">
      <c r="D2" s="2">
        <f t="shared" ref="D2:D21" si="1">YEAR(C2 )</f>
        <v>1899</v>
      </c>
      <c r="E2" s="2">
        <f t="shared" ref="E2:E21" si="2">MONTH(C2 )</f>
        <v>12</v>
      </c>
    </row>
    <row r="3">
      <c r="D3" s="2">
        <f t="shared" si="1"/>
        <v>1899</v>
      </c>
      <c r="E3" s="2">
        <f t="shared" si="2"/>
        <v>12</v>
      </c>
    </row>
    <row r="4">
      <c r="D4" s="2">
        <f t="shared" si="1"/>
        <v>1899</v>
      </c>
      <c r="E4" s="2">
        <f t="shared" si="2"/>
        <v>12</v>
      </c>
    </row>
    <row r="5">
      <c r="D5" s="2">
        <f t="shared" si="1"/>
        <v>1899</v>
      </c>
      <c r="E5" s="2">
        <f t="shared" si="2"/>
        <v>12</v>
      </c>
    </row>
    <row r="6">
      <c r="D6" s="2">
        <f t="shared" si="1"/>
        <v>1899</v>
      </c>
      <c r="E6" s="2">
        <f t="shared" si="2"/>
        <v>12</v>
      </c>
    </row>
    <row r="7">
      <c r="D7" s="2">
        <f t="shared" si="1"/>
        <v>1899</v>
      </c>
      <c r="E7" s="2">
        <f t="shared" si="2"/>
        <v>12</v>
      </c>
    </row>
    <row r="8">
      <c r="D8" s="2">
        <f t="shared" si="1"/>
        <v>1899</v>
      </c>
      <c r="E8" s="2">
        <f t="shared" si="2"/>
        <v>12</v>
      </c>
    </row>
    <row r="9">
      <c r="D9" s="2">
        <f t="shared" si="1"/>
        <v>1899</v>
      </c>
      <c r="E9" s="2">
        <f t="shared" si="2"/>
        <v>12</v>
      </c>
    </row>
    <row r="10">
      <c r="D10" s="2">
        <f t="shared" si="1"/>
        <v>1899</v>
      </c>
      <c r="E10" s="2">
        <f t="shared" si="2"/>
        <v>12</v>
      </c>
    </row>
    <row r="11">
      <c r="D11" s="2">
        <f t="shared" si="1"/>
        <v>1899</v>
      </c>
      <c r="E11" s="2">
        <f t="shared" si="2"/>
        <v>12</v>
      </c>
    </row>
    <row r="12">
      <c r="D12" s="2">
        <f t="shared" si="1"/>
        <v>1899</v>
      </c>
      <c r="E12" s="2">
        <f t="shared" si="2"/>
        <v>12</v>
      </c>
    </row>
    <row r="13">
      <c r="D13" s="2">
        <f t="shared" si="1"/>
        <v>1899</v>
      </c>
      <c r="E13" s="2">
        <f t="shared" si="2"/>
        <v>12</v>
      </c>
    </row>
    <row r="14">
      <c r="D14" s="2">
        <f t="shared" si="1"/>
        <v>1899</v>
      </c>
      <c r="E14" s="2">
        <f t="shared" si="2"/>
        <v>12</v>
      </c>
    </row>
    <row r="15">
      <c r="D15" s="2">
        <f t="shared" si="1"/>
        <v>1899</v>
      </c>
      <c r="E15" s="2">
        <f t="shared" si="2"/>
        <v>12</v>
      </c>
    </row>
    <row r="16">
      <c r="D16" s="2">
        <f t="shared" si="1"/>
        <v>1899</v>
      </c>
      <c r="E16" s="2">
        <f t="shared" si="2"/>
        <v>12</v>
      </c>
    </row>
    <row r="17">
      <c r="D17" s="2">
        <f t="shared" si="1"/>
        <v>1899</v>
      </c>
      <c r="E17" s="2">
        <f t="shared" si="2"/>
        <v>12</v>
      </c>
    </row>
    <row r="18">
      <c r="D18" s="2">
        <f t="shared" si="1"/>
        <v>1899</v>
      </c>
      <c r="E18" s="2">
        <f t="shared" si="2"/>
        <v>12</v>
      </c>
    </row>
    <row r="19">
      <c r="D19" s="2">
        <f t="shared" si="1"/>
        <v>1899</v>
      </c>
      <c r="E19" s="2">
        <f t="shared" si="2"/>
        <v>12</v>
      </c>
    </row>
    <row r="20">
      <c r="D20" s="2">
        <f t="shared" si="1"/>
        <v>1899</v>
      </c>
      <c r="E20" s="2">
        <f t="shared" si="2"/>
        <v>12</v>
      </c>
    </row>
    <row r="21">
      <c r="D21" s="2">
        <f t="shared" si="1"/>
        <v>1899</v>
      </c>
      <c r="E21" s="2">
        <f t="shared" si="2"/>
        <v>12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>
      <c r="A1" s="1" t="s">
        <v>0</v>
      </c>
      <c r="B1" s="1" t="s">
        <v>1</v>
      </c>
      <c r="C1" s="1"/>
      <c r="D1" s="1" t="s">
        <v>2</v>
      </c>
    </row>
    <row r="2">
      <c r="A2" s="2" t="s">
        <v>3</v>
      </c>
      <c r="B2" s="2">
        <f>COUNTIFS(Medicines!$D:$D,2026,Medicines!$E:$E,1)</f>
        <v>0</v>
      </c>
      <c r="D2" s="2">
        <f>COUNTIFS(Medicines!$D:$D,2026,Medicines!$E:$E,1)</f>
        <v>0</v>
      </c>
    </row>
    <row r="3">
      <c r="A3" s="2" t="s">
        <v>30</v>
      </c>
      <c r="B3" s="2">
        <f>COUNTIFS(Medicines!$D:$D,2026,Medicines!$E:$E,2)</f>
        <v>0</v>
      </c>
      <c r="D3" s="2">
        <f>COUNTIFS(Medicines!$D:$D,2026,Medicines!$E:$E,2)</f>
        <v>0</v>
      </c>
    </row>
    <row r="4">
      <c r="A4" s="2" t="s">
        <v>49</v>
      </c>
      <c r="B4" s="2">
        <f>COUNTIFS(Medicines!$D:$D,2026,Medicines!$E:$E,3)</f>
        <v>0</v>
      </c>
      <c r="D4" s="2">
        <f>COUNTIFS(Medicines!$D:$D,2026,Medicines!$E:$E,3)</f>
        <v>0</v>
      </c>
    </row>
    <row r="5">
      <c r="A5" s="2" t="s">
        <v>60</v>
      </c>
      <c r="B5" s="2">
        <f>COUNTIFS(Medicines!$D:$D,2026,Medicines!$E:$E,4)</f>
        <v>0</v>
      </c>
      <c r="D5" s="2">
        <f>COUNTIFS(Medicines!$D:$D,2026,Medicines!$E:$E,4)</f>
        <v>0</v>
      </c>
    </row>
    <row r="6">
      <c r="A6" s="2" t="s">
        <v>75</v>
      </c>
      <c r="B6" s="2">
        <f>COUNTIFS(Medicines!$D:$D,2026,Medicines!$E:$E,5)</f>
        <v>0</v>
      </c>
      <c r="D6" s="2">
        <f>COUNTIFS(Medicines!$D:$D,2026,Medicines!$E:$E,5)</f>
        <v>0</v>
      </c>
    </row>
    <row r="7">
      <c r="A7" s="2" t="s">
        <v>89</v>
      </c>
      <c r="B7" s="2">
        <f>COUNTIFS(Medicines!$D:$D,2026,Medicines!$E:$E,6)</f>
        <v>0</v>
      </c>
      <c r="D7" s="2">
        <f>COUNTIFS(Medicines!$D:$D,2026,Medicines!$E:$E,6)</f>
        <v>0</v>
      </c>
    </row>
    <row r="8">
      <c r="A8" s="2" t="s">
        <v>102</v>
      </c>
      <c r="B8" s="2">
        <f>COUNTIFS(Medicines!$D:$D,2026,Medicines!$E:$E,7)</f>
        <v>0</v>
      </c>
      <c r="D8" s="2">
        <f>COUNTIFS(Medicines!$D:$D,2026,Medicines!$E:$E,7)</f>
        <v>0</v>
      </c>
    </row>
    <row r="9">
      <c r="A9" s="2" t="s">
        <v>103</v>
      </c>
      <c r="B9" s="2">
        <f>COUNTIFS(Medicines!$D:$D,2026,Medicines!$E:$E,8)</f>
        <v>0</v>
      </c>
      <c r="D9" s="2">
        <f>COUNTIFS(Medicines!$D:$D,2026,Medicines!$E:$E,8)</f>
        <v>0</v>
      </c>
    </row>
    <row r="10">
      <c r="A10" s="2" t="s">
        <v>112</v>
      </c>
      <c r="B10" s="2">
        <f>COUNTIFS(Medicines!$D:$D,2026,Medicines!$E:$E,9)</f>
        <v>0</v>
      </c>
      <c r="D10" s="2">
        <f>COUNTIFS(Medicines!$D:$D,2026,Medicines!$E:$E,9)</f>
        <v>0</v>
      </c>
    </row>
    <row r="11">
      <c r="A11" s="2" t="s">
        <v>120</v>
      </c>
      <c r="B11" s="2">
        <f>COUNTIFS(Medicines!$D:$D,2026,Medicines!$E:$E,10)</f>
        <v>0</v>
      </c>
      <c r="D11" s="2">
        <f>COUNTIFS(Medicines!$D:$D,2026,Medicines!$E:$E,10)</f>
        <v>0</v>
      </c>
    </row>
    <row r="12">
      <c r="A12" s="2" t="s">
        <v>126</v>
      </c>
      <c r="B12" s="2">
        <f>COUNTIFS(Medicines!$D:$D,2026,Medicines!$E:$E,11)</f>
        <v>0</v>
      </c>
      <c r="D12" s="2">
        <f>COUNTIFS(Medicines!$D:$D,2026,Medicines!$E:$E,11)</f>
        <v>0</v>
      </c>
    </row>
    <row r="13">
      <c r="A13" s="2" t="s">
        <v>135</v>
      </c>
      <c r="B13" s="2">
        <f>COUNTIFS(Medicines!$D:$D,2026,Medicines!$E:$E,12)</f>
        <v>0</v>
      </c>
      <c r="D13" s="2">
        <f>COUNTIFS(Medicines!$D:$D,2026,Medicines!$E:$E,12)</f>
        <v>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